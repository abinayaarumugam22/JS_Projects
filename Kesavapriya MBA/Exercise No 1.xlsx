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Kesavapriya MBA\"/>
    </mc:Choice>
  </mc:AlternateContent>
  <xr:revisionPtr revIDLastSave="0" documentId="13_ncr:1_{6A2BED99-2A9B-42CC-9E6E-3B129AFB01DA}" xr6:coauthVersionLast="47" xr6:coauthVersionMax="47" xr10:uidLastSave="{00000000-0000-0000-0000-000000000000}"/>
  <bookViews>
    <workbookView xWindow="-120" yWindow="-120" windowWidth="29040" windowHeight="15720" xr2:uid="{D1CD39AE-8F18-4FE8-BCD9-C6607E7FE272}"/>
  </bookViews>
  <sheets>
    <sheet name="EX 1" sheetId="1" r:id="rId1"/>
    <sheet name="EX 2" sheetId="2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H4" i="2"/>
  <c r="L4" i="2"/>
  <c r="E3" i="2"/>
  <c r="E4" i="2"/>
  <c r="E5" i="2"/>
  <c r="E6" i="2"/>
  <c r="E7" i="2"/>
  <c r="E8" i="2"/>
  <c r="E9" i="2"/>
  <c r="E10" i="2"/>
  <c r="E11" i="2"/>
  <c r="E12" i="2"/>
  <c r="E13" i="2"/>
  <c r="E2" i="2"/>
  <c r="M3" i="1"/>
  <c r="M4" i="1"/>
  <c r="M5" i="1"/>
  <c r="M6" i="1"/>
  <c r="M7" i="1"/>
  <c r="M8" i="1"/>
  <c r="M9" i="1"/>
  <c r="M2" i="1"/>
  <c r="H3" i="1"/>
  <c r="H4" i="1"/>
  <c r="H5" i="1"/>
  <c r="H6" i="1"/>
  <c r="H7" i="1"/>
  <c r="H8" i="1"/>
  <c r="H9" i="1"/>
  <c r="H2" i="1"/>
  <c r="L2" i="1" s="1"/>
  <c r="J3" i="1"/>
  <c r="J4" i="1"/>
  <c r="J5" i="1"/>
  <c r="J6" i="1"/>
  <c r="J7" i="1"/>
  <c r="J8" i="1"/>
  <c r="J9" i="1"/>
  <c r="J2" i="1"/>
  <c r="G3" i="1"/>
  <c r="I3" i="1" s="1"/>
  <c r="K3" i="1" s="1"/>
  <c r="G4" i="1"/>
  <c r="I4" i="1" s="1"/>
  <c r="K4" i="1" s="1"/>
  <c r="G5" i="1"/>
  <c r="I5" i="1" s="1"/>
  <c r="K5" i="1" s="1"/>
  <c r="G6" i="1"/>
  <c r="I6" i="1" s="1"/>
  <c r="K6" i="1" s="1"/>
  <c r="G7" i="1"/>
  <c r="I7" i="1" s="1"/>
  <c r="K7" i="1" s="1"/>
  <c r="G8" i="1"/>
  <c r="I8" i="1" s="1"/>
  <c r="K8" i="1" s="1"/>
  <c r="G9" i="1"/>
  <c r="I9" i="1" s="1"/>
  <c r="K9" i="1" s="1"/>
  <c r="G2" i="1"/>
  <c r="I2" i="1" s="1"/>
  <c r="K2" i="1" s="1"/>
  <c r="L6" i="1" l="1"/>
  <c r="L8" i="1"/>
  <c r="L9" i="1"/>
  <c r="L7" i="1"/>
  <c r="L4" i="1"/>
  <c r="L3" i="1"/>
  <c r="L5" i="1"/>
</calcChain>
</file>

<file path=xl/sharedStrings.xml><?xml version="1.0" encoding="utf-8"?>
<sst xmlns="http://schemas.openxmlformats.org/spreadsheetml/2006/main" count="77" uniqueCount="42">
  <si>
    <t>Serial no</t>
  </si>
  <si>
    <t>Name</t>
  </si>
  <si>
    <t>Reg no</t>
  </si>
  <si>
    <t>Mark 1</t>
  </si>
  <si>
    <t>Mark 2</t>
  </si>
  <si>
    <t>Mark 3</t>
  </si>
  <si>
    <t>Result</t>
  </si>
  <si>
    <t>Total</t>
  </si>
  <si>
    <t>Percentage</t>
  </si>
  <si>
    <t>kesu</t>
  </si>
  <si>
    <t>Malathi</t>
  </si>
  <si>
    <t>Priya</t>
  </si>
  <si>
    <t>Sandhya</t>
  </si>
  <si>
    <t>Preethi</t>
  </si>
  <si>
    <t>Suba</t>
  </si>
  <si>
    <t>Kova</t>
  </si>
  <si>
    <t>Rani</t>
  </si>
  <si>
    <t xml:space="preserve">Avg </t>
  </si>
  <si>
    <t xml:space="preserve">Rank </t>
  </si>
  <si>
    <t xml:space="preserve">Grade </t>
  </si>
  <si>
    <t>Amuli</t>
  </si>
  <si>
    <t>Kesu</t>
  </si>
  <si>
    <t xml:space="preserve">Sales persons </t>
  </si>
  <si>
    <t xml:space="preserve">Region </t>
  </si>
  <si>
    <t>Order</t>
  </si>
  <si>
    <t>Total sales</t>
  </si>
  <si>
    <t>East</t>
  </si>
  <si>
    <t>West</t>
  </si>
  <si>
    <t>North</t>
  </si>
  <si>
    <t>South</t>
  </si>
  <si>
    <t>Papa</t>
  </si>
  <si>
    <t xml:space="preserve">Sales person </t>
  </si>
  <si>
    <t xml:space="preserve">Total sales </t>
  </si>
  <si>
    <t>Region</t>
  </si>
  <si>
    <t>orders</t>
  </si>
  <si>
    <t>overall</t>
  </si>
  <si>
    <t>cost</t>
  </si>
  <si>
    <t>Grand Total</t>
  </si>
  <si>
    <t>Row Labels</t>
  </si>
  <si>
    <t>Sum of Order</t>
  </si>
  <si>
    <t>Sum of cost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</si>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</sst>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9" fontId="0" fillId="0" borderId="0" xfId="1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NSDC0384" refreshedDate="45714.677395833336" createdVersion="8" refreshedVersion="8" minRefreshableVersion="3" recordCount="12" xr:uid="{C3727E78-9538-4FF7-B651-1DD942D530D2}">
  <cacheSource type="worksheet">
    <worksheetSource ref="A1:E13" sheet="EX 2"/>
  </cacheSource>
  <cacheFields count="5">
    <cacheField name="Sales persons " numFmtId="0">
      <sharedItems count="4">
        <s v="Kesu"/>
        <s v="Malathi"/>
        <s v="Papa"/>
        <s v="Amuli"/>
      </sharedItems>
    </cacheField>
    <cacheField name="Region " numFmtId="0">
      <sharedItems count="4">
        <s v="East"/>
        <s v="South"/>
        <s v="West"/>
        <s v="North"/>
      </sharedItems>
    </cacheField>
    <cacheField name="Order" numFmtId="0">
      <sharedItems containsSemiMixedTypes="0" containsString="0" containsNumber="1" containsInteger="1" minValue="2" maxValue="56" count="10">
        <n v="15"/>
        <n v="34"/>
        <n v="26"/>
        <n v="10"/>
        <n v="6"/>
        <n v="2"/>
        <n v="5"/>
        <n v="9"/>
        <n v="22"/>
        <n v="56"/>
      </sharedItems>
    </cacheField>
    <cacheField name="cost" numFmtId="0">
      <sharedItems containsSemiMixedTypes="0" containsString="0" containsNumber="1" containsInteger="1" minValue="10" maxValue="61"/>
    </cacheField>
    <cacheField name="Total sales" numFmtId="0">
      <sharedItems containsSemiMixedTypes="0" containsString="0" containsNumber="1" containsInteger="1" minValue="60" maxValue="12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8"/>
    <n v="270"/>
  </r>
  <r>
    <x v="1"/>
    <x v="1"/>
    <x v="1"/>
    <n v="25"/>
    <n v="850"/>
  </r>
  <r>
    <x v="2"/>
    <x v="2"/>
    <x v="2"/>
    <n v="34"/>
    <n v="884"/>
  </r>
  <r>
    <x v="3"/>
    <x v="3"/>
    <x v="3"/>
    <n v="61"/>
    <n v="610"/>
  </r>
  <r>
    <x v="1"/>
    <x v="2"/>
    <x v="4"/>
    <n v="10"/>
    <n v="60"/>
  </r>
  <r>
    <x v="3"/>
    <x v="0"/>
    <x v="5"/>
    <n v="56"/>
    <n v="112"/>
  </r>
  <r>
    <x v="1"/>
    <x v="3"/>
    <x v="6"/>
    <n v="32"/>
    <n v="160"/>
  </r>
  <r>
    <x v="0"/>
    <x v="1"/>
    <x v="7"/>
    <n v="61"/>
    <n v="549"/>
  </r>
  <r>
    <x v="2"/>
    <x v="0"/>
    <x v="1"/>
    <n v="31"/>
    <n v="1054"/>
  </r>
  <r>
    <x v="3"/>
    <x v="1"/>
    <x v="2"/>
    <n v="41"/>
    <n v="1066"/>
  </r>
  <r>
    <x v="2"/>
    <x v="0"/>
    <x v="8"/>
    <n v="24"/>
    <n v="528"/>
  </r>
  <r>
    <x v="0"/>
    <x v="3"/>
    <x v="9"/>
    <n v="23"/>
    <n v="12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64D77-2B3E-420A-A7AD-1036B922188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2:N28" firstHeaderRow="0" firstDataRow="1" firstDataCol="1"/>
  <pivotFields count="5">
    <pivotField axis="axisRow" showAll="0">
      <items count="5">
        <item x="3"/>
        <item x="0"/>
        <item x="1"/>
        <item x="2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dataField="1" showAll="0">
      <items count="11">
        <item x="5"/>
        <item x="6"/>
        <item x="4"/>
        <item x="7"/>
        <item x="3"/>
        <item x="0"/>
        <item x="8"/>
        <item x="2"/>
        <item x="1"/>
        <item x="9"/>
        <item t="default"/>
      </items>
    </pivotField>
    <pivotField dataField="1" showAll="0"/>
    <pivotField dataField="1" showAll="0"/>
  </pivotFields>
  <rowFields count="2">
    <field x="0"/>
    <field x="1"/>
  </rowFields>
  <rowItems count="16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 v="1"/>
    </i>
    <i r="1">
      <x v="2"/>
    </i>
    <i r="1">
      <x v="3"/>
    </i>
    <i>
      <x v="3"/>
    </i>
    <i r="1">
      <x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Order" fld="2" baseField="0" baseItem="0"/>
    <dataField name="Sum of cost" fld="3" baseField="0" baseItem="0"/>
    <dataField name="Sum of Total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B0630-57E3-473D-BF6A-67ECF8AE2C00}">
  <dimension ref="A1:M36"/>
  <sheetViews>
    <sheetView tabSelected="1" workbookViewId="0">
      <selection activeCell="L2" sqref="L2"/>
    </sheetView>
  </sheetViews>
  <sheetFormatPr defaultRowHeight="14.25"/>
  <cols>
    <col min="1" max="9" width="9" style="1"/>
    <col min="10" max="10" width="9.375" style="1" bestFit="1" customWidth="1"/>
    <col min="11" max="11" width="11.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17</v>
      </c>
      <c r="K1" s="1" t="s">
        <v>8</v>
      </c>
      <c r="L1" s="1" t="s">
        <v>18</v>
      </c>
      <c r="M1" s="1" t="s">
        <v>19</v>
      </c>
    </row>
    <row r="2" spans="1:13">
      <c r="A2" s="1">
        <v>1</v>
      </c>
      <c r="B2" s="1" t="s">
        <v>9</v>
      </c>
      <c r="C2" s="1">
        <v>12</v>
      </c>
      <c r="D2" s="1">
        <v>85</v>
      </c>
      <c r="E2" s="1">
        <v>94</v>
      </c>
      <c r="F2" s="1">
        <v>98</v>
      </c>
      <c r="G2" s="1" t="str">
        <f>IF(AND(D2&gt;49,E2&gt;49,F2&gt;49),"p","f")</f>
        <v>p</v>
      </c>
      <c r="H2" s="1">
        <f>SUM(D2:F2)</f>
        <v>277</v>
      </c>
      <c r="I2" s="1">
        <f>IF((G2="p"),SUM(D2:F2),0)</f>
        <v>277</v>
      </c>
      <c r="J2" s="2">
        <f>AVERAGE(D2:F2)</f>
        <v>92.333333333333329</v>
      </c>
      <c r="K2" s="3">
        <f>I2/300</f>
        <v>0.92333333333333334</v>
      </c>
      <c r="L2">
        <f>RANK(H2,H$2:$H$9)</f>
        <v>1</v>
      </c>
      <c r="M2" t="str">
        <f>IF(H2&gt;275,"A",IF(H2&gt;250,"B",IF(H2&gt;200,"C","D")))</f>
        <v>A</v>
      </c>
    </row>
    <row r="3" spans="1:13">
      <c r="A3" s="1">
        <v>2</v>
      </c>
      <c r="B3" s="1" t="s">
        <v>10</v>
      </c>
      <c r="C3" s="1">
        <v>13</v>
      </c>
      <c r="D3" s="1">
        <v>93</v>
      </c>
      <c r="E3" s="1">
        <v>95</v>
      </c>
      <c r="F3" s="1">
        <v>88</v>
      </c>
      <c r="G3" s="1" t="str">
        <f t="shared" ref="G3:G9" si="0">IF(AND(D3&gt;49,E3&gt;49,F3&gt;49),"p","f")</f>
        <v>p</v>
      </c>
      <c r="H3" s="1">
        <f t="shared" ref="H3:H9" si="1">SUM(D3:F3)</f>
        <v>276</v>
      </c>
      <c r="I3" s="1">
        <f t="shared" ref="I3:I9" si="2">IF((G3="p"),SUM(D3:F3),0)</f>
        <v>276</v>
      </c>
      <c r="J3" s="2">
        <f t="shared" ref="J3:J9" si="3">AVERAGE(D3:F3)</f>
        <v>92</v>
      </c>
      <c r="K3" s="3">
        <f t="shared" ref="K3:K9" si="4">I3/300</f>
        <v>0.92</v>
      </c>
      <c r="L3">
        <f>RANK(H3,H$2:$H$9)</f>
        <v>2</v>
      </c>
      <c r="M3" t="str">
        <f t="shared" ref="M3:M9" si="5">IF(H3&gt;275,"A",IF(H3&gt;250,"B",IF(H3&gt;200,"C","D")))</f>
        <v>A</v>
      </c>
    </row>
    <row r="4" spans="1:13">
      <c r="A4" s="1">
        <v>3</v>
      </c>
      <c r="B4" s="1" t="s">
        <v>11</v>
      </c>
      <c r="C4" s="1">
        <v>14</v>
      </c>
      <c r="D4" s="1">
        <v>50</v>
      </c>
      <c r="E4" s="1">
        <v>33</v>
      </c>
      <c r="F4" s="1">
        <v>64</v>
      </c>
      <c r="G4" s="1" t="str">
        <f t="shared" si="0"/>
        <v>f</v>
      </c>
      <c r="H4" s="1">
        <f t="shared" si="1"/>
        <v>147</v>
      </c>
      <c r="I4" s="1">
        <f t="shared" si="2"/>
        <v>0</v>
      </c>
      <c r="J4" s="2">
        <f t="shared" si="3"/>
        <v>49</v>
      </c>
      <c r="K4" s="3">
        <f t="shared" si="4"/>
        <v>0</v>
      </c>
      <c r="L4">
        <f>RANK(H4,H$2:$H$9)</f>
        <v>8</v>
      </c>
      <c r="M4" t="str">
        <f t="shared" si="5"/>
        <v>D</v>
      </c>
    </row>
    <row r="5" spans="1:13">
      <c r="A5" s="1">
        <v>4</v>
      </c>
      <c r="B5" s="1" t="s">
        <v>12</v>
      </c>
      <c r="C5" s="1">
        <v>15</v>
      </c>
      <c r="D5" s="1">
        <v>62</v>
      </c>
      <c r="E5" s="1">
        <v>81</v>
      </c>
      <c r="F5" s="1">
        <v>41</v>
      </c>
      <c r="G5" s="1" t="str">
        <f t="shared" si="0"/>
        <v>f</v>
      </c>
      <c r="H5" s="1">
        <f t="shared" si="1"/>
        <v>184</v>
      </c>
      <c r="I5" s="1">
        <f t="shared" si="2"/>
        <v>0</v>
      </c>
      <c r="J5" s="2">
        <f t="shared" si="3"/>
        <v>61.333333333333336</v>
      </c>
      <c r="K5" s="3">
        <f t="shared" si="4"/>
        <v>0</v>
      </c>
      <c r="L5">
        <f>RANK(H5,H$2:$H$9)</f>
        <v>5</v>
      </c>
      <c r="M5" t="str">
        <f t="shared" si="5"/>
        <v>D</v>
      </c>
    </row>
    <row r="6" spans="1:13">
      <c r="A6" s="1">
        <v>5</v>
      </c>
      <c r="B6" s="1" t="s">
        <v>13</v>
      </c>
      <c r="C6" s="1">
        <v>16</v>
      </c>
      <c r="D6" s="1">
        <v>77</v>
      </c>
      <c r="E6" s="1">
        <v>39</v>
      </c>
      <c r="F6" s="1">
        <v>63</v>
      </c>
      <c r="G6" s="1" t="str">
        <f t="shared" si="0"/>
        <v>f</v>
      </c>
      <c r="H6" s="1">
        <f t="shared" si="1"/>
        <v>179</v>
      </c>
      <c r="I6" s="1">
        <f t="shared" si="2"/>
        <v>0</v>
      </c>
      <c r="J6" s="2">
        <f t="shared" si="3"/>
        <v>59.666666666666664</v>
      </c>
      <c r="K6" s="3">
        <f t="shared" si="4"/>
        <v>0</v>
      </c>
      <c r="L6">
        <f>RANK(H6,H$2:$H$9)</f>
        <v>6</v>
      </c>
      <c r="M6" t="str">
        <f t="shared" si="5"/>
        <v>D</v>
      </c>
    </row>
    <row r="7" spans="1:13">
      <c r="A7" s="1">
        <v>6</v>
      </c>
      <c r="B7" s="1" t="s">
        <v>14</v>
      </c>
      <c r="C7" s="1">
        <v>17</v>
      </c>
      <c r="D7" s="1">
        <v>96</v>
      </c>
      <c r="E7" s="1">
        <v>60</v>
      </c>
      <c r="F7" s="1">
        <v>73</v>
      </c>
      <c r="G7" s="1" t="str">
        <f t="shared" si="0"/>
        <v>p</v>
      </c>
      <c r="H7" s="1">
        <f t="shared" si="1"/>
        <v>229</v>
      </c>
      <c r="I7" s="1">
        <f t="shared" si="2"/>
        <v>229</v>
      </c>
      <c r="J7" s="2">
        <f t="shared" si="3"/>
        <v>76.333333333333329</v>
      </c>
      <c r="K7" s="3">
        <f t="shared" si="4"/>
        <v>0.76333333333333331</v>
      </c>
      <c r="L7">
        <f>RANK(H7,H$2:$H$9)</f>
        <v>3</v>
      </c>
      <c r="M7" t="str">
        <f t="shared" si="5"/>
        <v>C</v>
      </c>
    </row>
    <row r="8" spans="1:13">
      <c r="A8" s="1">
        <v>7</v>
      </c>
      <c r="B8" s="1" t="s">
        <v>15</v>
      </c>
      <c r="C8" s="1">
        <v>18</v>
      </c>
      <c r="D8" s="1">
        <v>58</v>
      </c>
      <c r="E8" s="1">
        <v>48</v>
      </c>
      <c r="F8" s="1">
        <v>82</v>
      </c>
      <c r="G8" s="1" t="str">
        <f t="shared" si="0"/>
        <v>f</v>
      </c>
      <c r="H8" s="1">
        <f t="shared" si="1"/>
        <v>188</v>
      </c>
      <c r="I8" s="1">
        <f t="shared" si="2"/>
        <v>0</v>
      </c>
      <c r="J8" s="2">
        <f t="shared" si="3"/>
        <v>62.666666666666664</v>
      </c>
      <c r="K8" s="3">
        <f t="shared" si="4"/>
        <v>0</v>
      </c>
      <c r="L8">
        <f>RANK(H8,H$2:$H$9)</f>
        <v>4</v>
      </c>
      <c r="M8" t="str">
        <f t="shared" si="5"/>
        <v>D</v>
      </c>
    </row>
    <row r="9" spans="1:13">
      <c r="A9" s="1">
        <v>8</v>
      </c>
      <c r="B9" s="1" t="s">
        <v>16</v>
      </c>
      <c r="C9" s="1">
        <v>19</v>
      </c>
      <c r="D9" s="1">
        <v>25</v>
      </c>
      <c r="E9" s="1">
        <v>47</v>
      </c>
      <c r="F9" s="1">
        <v>85</v>
      </c>
      <c r="G9" s="1" t="str">
        <f t="shared" si="0"/>
        <v>f</v>
      </c>
      <c r="H9" s="1">
        <f t="shared" si="1"/>
        <v>157</v>
      </c>
      <c r="I9" s="1">
        <f t="shared" si="2"/>
        <v>0</v>
      </c>
      <c r="J9" s="2">
        <f t="shared" si="3"/>
        <v>52.333333333333336</v>
      </c>
      <c r="K9" s="3">
        <f t="shared" si="4"/>
        <v>0</v>
      </c>
      <c r="L9">
        <f>RANK(H9,H$2:$H$9)</f>
        <v>7</v>
      </c>
      <c r="M9" t="str">
        <f t="shared" si="5"/>
        <v>D</v>
      </c>
    </row>
    <row r="10" spans="1:13">
      <c r="A10" s="1">
        <v>9</v>
      </c>
    </row>
    <row r="11" spans="1:13">
      <c r="A11" s="1">
        <v>10</v>
      </c>
    </row>
    <row r="12" spans="1:13">
      <c r="A12" s="1">
        <v>11</v>
      </c>
    </row>
    <row r="13" spans="1:13">
      <c r="A13" s="1">
        <v>12</v>
      </c>
    </row>
    <row r="14" spans="1:13">
      <c r="A14" s="1">
        <v>13</v>
      </c>
    </row>
    <row r="15" spans="1:13">
      <c r="A15" s="1">
        <v>14</v>
      </c>
    </row>
    <row r="16" spans="1:13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  <row r="26" spans="1:1">
      <c r="A26" s="1">
        <v>25</v>
      </c>
    </row>
    <row r="27" spans="1:1">
      <c r="A27" s="1">
        <v>26</v>
      </c>
    </row>
    <row r="28" spans="1:1">
      <c r="A28" s="1">
        <v>27</v>
      </c>
    </row>
    <row r="29" spans="1:1">
      <c r="A29" s="1">
        <v>28</v>
      </c>
    </row>
    <row r="30" spans="1:1">
      <c r="A30" s="1">
        <v>29</v>
      </c>
    </row>
    <row r="31" spans="1:1">
      <c r="A31" s="1">
        <v>30</v>
      </c>
    </row>
    <row r="32" spans="1:1">
      <c r="A32" s="1">
        <v>31</v>
      </c>
    </row>
    <row r="33" spans="1:1">
      <c r="A33" s="1">
        <v>32</v>
      </c>
    </row>
    <row r="34" spans="1:1">
      <c r="A34" s="1">
        <v>33</v>
      </c>
    </row>
    <row r="35" spans="1:1">
      <c r="A35" s="1">
        <v>34</v>
      </c>
    </row>
    <row r="36" spans="1:1">
      <c r="A36" s="1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9DE0-E3BB-408F-9F6A-FF67408281EE}">
  <dimension ref="A1:N28"/>
  <sheetViews>
    <sheetView workbookViewId="0">
      <selection activeCell="W14" sqref="W14"/>
    </sheetView>
  </sheetViews>
  <sheetFormatPr defaultRowHeight="14.25"/>
  <cols>
    <col min="1" max="1" width="14.25" customWidth="1"/>
    <col min="5" max="5" width="11.125" customWidth="1"/>
    <col min="7" max="7" width="12.75" customWidth="1"/>
    <col min="8" max="8" width="10.25" customWidth="1"/>
    <col min="11" max="11" width="13.125" bestFit="1" customWidth="1"/>
    <col min="12" max="12" width="12.75" bestFit="1" customWidth="1"/>
    <col min="13" max="13" width="11.25" bestFit="1" customWidth="1"/>
    <col min="14" max="14" width="17.375" bestFit="1" customWidth="1"/>
    <col min="15" max="15" width="1.875" bestFit="1" customWidth="1"/>
    <col min="16" max="21" width="2.875" bestFit="1" customWidth="1"/>
    <col min="22" max="22" width="11.375" bestFit="1" customWidth="1"/>
  </cols>
  <sheetData>
    <row r="1" spans="1:14">
      <c r="A1" t="s">
        <v>22</v>
      </c>
      <c r="B1" t="s">
        <v>23</v>
      </c>
      <c r="C1" t="s">
        <v>24</v>
      </c>
      <c r="D1" t="s">
        <v>36</v>
      </c>
      <c r="E1" t="s">
        <v>25</v>
      </c>
    </row>
    <row r="2" spans="1:14">
      <c r="A2" t="s">
        <v>21</v>
      </c>
      <c r="B2" s="4" t="s">
        <v>26</v>
      </c>
      <c r="C2">
        <v>15</v>
      </c>
      <c r="D2">
        <v>18</v>
      </c>
      <c r="E2">
        <f>C2*D2</f>
        <v>270</v>
      </c>
    </row>
    <row r="3" spans="1:14">
      <c r="A3" t="s">
        <v>10</v>
      </c>
      <c r="B3" s="4" t="s">
        <v>29</v>
      </c>
      <c r="C3">
        <v>34</v>
      </c>
      <c r="D3">
        <v>25</v>
      </c>
      <c r="E3">
        <f t="shared" ref="E3:E13" si="0">C3*D3</f>
        <v>850</v>
      </c>
      <c r="G3" t="s">
        <v>31</v>
      </c>
      <c r="H3" t="s">
        <v>32</v>
      </c>
      <c r="I3" t="s">
        <v>33</v>
      </c>
      <c r="J3" t="s">
        <v>34</v>
      </c>
      <c r="L3" t="s">
        <v>35</v>
      </c>
    </row>
    <row r="4" spans="1:14">
      <c r="A4" t="s">
        <v>30</v>
      </c>
      <c r="B4" s="4" t="s">
        <v>27</v>
      </c>
      <c r="C4">
        <v>26</v>
      </c>
      <c r="D4">
        <v>34</v>
      </c>
      <c r="E4">
        <f t="shared" si="0"/>
        <v>884</v>
      </c>
      <c r="G4" t="s">
        <v>10</v>
      </c>
      <c r="H4">
        <f>SUMIF(A2:A13,G4,E2:E13)</f>
        <v>1070</v>
      </c>
      <c r="I4" t="s">
        <v>28</v>
      </c>
      <c r="J4" s="5">
        <f>SUMIF(B2:B13,I4,C2:C13)</f>
        <v>71</v>
      </c>
      <c r="L4">
        <f>SUMIFS(E2:E13,A2:A13,G4,B2:B13,I4)</f>
        <v>160</v>
      </c>
    </row>
    <row r="5" spans="1:14">
      <c r="A5" t="s">
        <v>20</v>
      </c>
      <c r="B5" s="4" t="s">
        <v>28</v>
      </c>
      <c r="C5">
        <v>10</v>
      </c>
      <c r="D5">
        <v>61</v>
      </c>
      <c r="E5">
        <f t="shared" si="0"/>
        <v>610</v>
      </c>
    </row>
    <row r="6" spans="1:14">
      <c r="A6" t="s">
        <v>10</v>
      </c>
      <c r="B6" s="4" t="s">
        <v>27</v>
      </c>
      <c r="C6">
        <v>6</v>
      </c>
      <c r="D6">
        <v>10</v>
      </c>
      <c r="E6">
        <f t="shared" si="0"/>
        <v>60</v>
      </c>
    </row>
    <row r="7" spans="1:14">
      <c r="A7" t="s">
        <v>20</v>
      </c>
      <c r="B7" s="4" t="s">
        <v>26</v>
      </c>
      <c r="C7">
        <v>2</v>
      </c>
      <c r="D7">
        <v>56</v>
      </c>
      <c r="E7">
        <f t="shared" si="0"/>
        <v>112</v>
      </c>
    </row>
    <row r="8" spans="1:14">
      <c r="A8" t="s">
        <v>10</v>
      </c>
      <c r="B8" s="4" t="s">
        <v>28</v>
      </c>
      <c r="C8">
        <v>5</v>
      </c>
      <c r="D8">
        <v>32</v>
      </c>
      <c r="E8">
        <f t="shared" si="0"/>
        <v>160</v>
      </c>
    </row>
    <row r="9" spans="1:14">
      <c r="A9" t="s">
        <v>21</v>
      </c>
      <c r="B9" s="4" t="s">
        <v>29</v>
      </c>
      <c r="C9">
        <v>9</v>
      </c>
      <c r="D9">
        <v>61</v>
      </c>
      <c r="E9">
        <f t="shared" si="0"/>
        <v>549</v>
      </c>
    </row>
    <row r="10" spans="1:14">
      <c r="A10" t="s">
        <v>30</v>
      </c>
      <c r="B10" s="4" t="s">
        <v>26</v>
      </c>
      <c r="C10">
        <v>34</v>
      </c>
      <c r="D10">
        <v>31</v>
      </c>
      <c r="E10">
        <f t="shared" si="0"/>
        <v>1054</v>
      </c>
    </row>
    <row r="11" spans="1:14">
      <c r="A11" t="s">
        <v>20</v>
      </c>
      <c r="B11" s="4" t="s">
        <v>29</v>
      </c>
      <c r="C11">
        <v>26</v>
      </c>
      <c r="D11">
        <v>41</v>
      </c>
      <c r="E11">
        <f t="shared" si="0"/>
        <v>1066</v>
      </c>
    </row>
    <row r="12" spans="1:14">
      <c r="A12" t="s">
        <v>30</v>
      </c>
      <c r="B12" s="4" t="s">
        <v>26</v>
      </c>
      <c r="C12">
        <v>22</v>
      </c>
      <c r="D12">
        <v>24</v>
      </c>
      <c r="E12">
        <f t="shared" si="0"/>
        <v>528</v>
      </c>
      <c r="K12" s="6" t="s">
        <v>38</v>
      </c>
      <c r="L12" t="s">
        <v>39</v>
      </c>
      <c r="M12" t="s">
        <v>40</v>
      </c>
      <c r="N12" t="s">
        <v>41</v>
      </c>
    </row>
    <row r="13" spans="1:14">
      <c r="A13" t="s">
        <v>21</v>
      </c>
      <c r="B13" s="4" t="s">
        <v>28</v>
      </c>
      <c r="C13">
        <v>56</v>
      </c>
      <c r="D13">
        <v>23</v>
      </c>
      <c r="E13">
        <f t="shared" si="0"/>
        <v>1288</v>
      </c>
      <c r="K13" s="7" t="s">
        <v>20</v>
      </c>
      <c r="L13" s="9">
        <v>38</v>
      </c>
      <c r="M13" s="9">
        <v>158</v>
      </c>
      <c r="N13" s="9">
        <v>1788</v>
      </c>
    </row>
    <row r="14" spans="1:14">
      <c r="K14" s="8" t="s">
        <v>26</v>
      </c>
      <c r="L14" s="9">
        <v>2</v>
      </c>
      <c r="M14" s="9">
        <v>56</v>
      </c>
      <c r="N14" s="9">
        <v>112</v>
      </c>
    </row>
    <row r="15" spans="1:14">
      <c r="K15" s="8" t="s">
        <v>28</v>
      </c>
      <c r="L15" s="9">
        <v>10</v>
      </c>
      <c r="M15" s="9">
        <v>61</v>
      </c>
      <c r="N15" s="9">
        <v>610</v>
      </c>
    </row>
    <row r="16" spans="1:14">
      <c r="K16" s="8" t="s">
        <v>29</v>
      </c>
      <c r="L16" s="9">
        <v>26</v>
      </c>
      <c r="M16" s="9">
        <v>41</v>
      </c>
      <c r="N16" s="9">
        <v>1066</v>
      </c>
    </row>
    <row r="17" spans="11:14">
      <c r="K17" s="7" t="s">
        <v>21</v>
      </c>
      <c r="L17" s="9">
        <v>80</v>
      </c>
      <c r="M17" s="9">
        <v>102</v>
      </c>
      <c r="N17" s="9">
        <v>2107</v>
      </c>
    </row>
    <row r="18" spans="11:14">
      <c r="K18" s="8" t="s">
        <v>26</v>
      </c>
      <c r="L18" s="9">
        <v>15</v>
      </c>
      <c r="M18" s="9">
        <v>18</v>
      </c>
      <c r="N18" s="9">
        <v>270</v>
      </c>
    </row>
    <row r="19" spans="11:14">
      <c r="K19" s="8" t="s">
        <v>28</v>
      </c>
      <c r="L19" s="9">
        <v>56</v>
      </c>
      <c r="M19" s="9">
        <v>23</v>
      </c>
      <c r="N19" s="9">
        <v>1288</v>
      </c>
    </row>
    <row r="20" spans="11:14">
      <c r="K20" s="8" t="s">
        <v>29</v>
      </c>
      <c r="L20" s="9">
        <v>9</v>
      </c>
      <c r="M20" s="9">
        <v>61</v>
      </c>
      <c r="N20" s="9">
        <v>549</v>
      </c>
    </row>
    <row r="21" spans="11:14">
      <c r="K21" s="7" t="s">
        <v>10</v>
      </c>
      <c r="L21" s="9">
        <v>45</v>
      </c>
      <c r="M21" s="9">
        <v>67</v>
      </c>
      <c r="N21" s="9">
        <v>1070</v>
      </c>
    </row>
    <row r="22" spans="11:14">
      <c r="K22" s="8" t="s">
        <v>28</v>
      </c>
      <c r="L22" s="9">
        <v>5</v>
      </c>
      <c r="M22" s="9">
        <v>32</v>
      </c>
      <c r="N22" s="9">
        <v>160</v>
      </c>
    </row>
    <row r="23" spans="11:14">
      <c r="K23" s="8" t="s">
        <v>29</v>
      </c>
      <c r="L23" s="9">
        <v>34</v>
      </c>
      <c r="M23" s="9">
        <v>25</v>
      </c>
      <c r="N23" s="9">
        <v>850</v>
      </c>
    </row>
    <row r="24" spans="11:14">
      <c r="K24" s="8" t="s">
        <v>27</v>
      </c>
      <c r="L24" s="9">
        <v>6</v>
      </c>
      <c r="M24" s="9">
        <v>10</v>
      </c>
      <c r="N24" s="9">
        <v>60</v>
      </c>
    </row>
    <row r="25" spans="11:14">
      <c r="K25" s="7" t="s">
        <v>30</v>
      </c>
      <c r="L25" s="9">
        <v>82</v>
      </c>
      <c r="M25" s="9">
        <v>89</v>
      </c>
      <c r="N25" s="9">
        <v>2466</v>
      </c>
    </row>
    <row r="26" spans="11:14">
      <c r="K26" s="8" t="s">
        <v>26</v>
      </c>
      <c r="L26" s="9">
        <v>56</v>
      </c>
      <c r="M26" s="9">
        <v>55</v>
      </c>
      <c r="N26" s="9">
        <v>1582</v>
      </c>
    </row>
    <row r="27" spans="11:14">
      <c r="K27" s="8" t="s">
        <v>27</v>
      </c>
      <c r="L27" s="9">
        <v>26</v>
      </c>
      <c r="M27" s="9">
        <v>34</v>
      </c>
      <c r="N27" s="9">
        <v>884</v>
      </c>
    </row>
    <row r="28" spans="11:14">
      <c r="K28" s="7" t="s">
        <v>37</v>
      </c>
      <c r="L28" s="9">
        <v>245</v>
      </c>
      <c r="M28" s="9">
        <v>416</v>
      </c>
      <c r="N28" s="9">
        <v>7431</v>
      </c>
    </row>
  </sheetData>
  <dataConsolidate topLabels="1"/>
  <dataValidations xWindow="371" yWindow="283" count="5">
    <dataValidation allowBlank="1" showInputMessage="1" showErrorMessage="1" promptTitle="East, West, South, Nr           " sqref="H4" xr:uid="{F3C56A88-2009-4465-AD60-64491BD1F1A0}"/>
    <dataValidation type="list" allowBlank="1" showInputMessage="1" showErrorMessage="1" sqref="B2:B13" xr:uid="{31121123-4E78-495D-A45E-0D3EE2D24C40}">
      <formula1>"North,South,West,East"</formula1>
    </dataValidation>
    <dataValidation type="list" allowBlank="1" showInputMessage="1" showErrorMessage="1" sqref="A2:A13" xr:uid="{FEBAF7CF-F110-4EAB-B678-98710B978E92}">
      <formula1>"Amuli,Kesu,Papa,Malathi"</formula1>
    </dataValidation>
    <dataValidation type="list" allowBlank="1" showInputMessage="1" showErrorMessage="1" sqref="G4" xr:uid="{3F926F9E-791F-44CB-9215-4D8E5AFC3337}">
      <formula1>$A$2:$A$5</formula1>
    </dataValidation>
    <dataValidation type="list" allowBlank="1" showInputMessage="1" showErrorMessage="1" sqref="I4" xr:uid="{602BC767-4A6F-4F07-B15E-D26B3222CDCB}">
      <formula1>$B$2:$B$5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 1</vt:lpstr>
      <vt:lpstr>EX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TNSDC0384</dc:creator>
  <cp:lastModifiedBy>TNSDC0384</cp:lastModifiedBy>
  <dcterms:created xsi:type="dcterms:W3CDTF">2025-02-25T10:01:42Z</dcterms:created>
  <dcterms:modified xsi:type="dcterms:W3CDTF">2025-02-26T11:00:34Z</dcterms:modified>
</cp:coreProperties>
</file>